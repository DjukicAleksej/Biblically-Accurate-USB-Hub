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rdware Projects\Biblically Accurate USB Hub\BOM\"/>
    </mc:Choice>
  </mc:AlternateContent>
  <xr:revisionPtr revIDLastSave="0" documentId="8_{61C0B549-4A68-4CD2-8B60-FFC8BB884AAC}" xr6:coauthVersionLast="47" xr6:coauthVersionMax="47" xr10:uidLastSave="{00000000-0000-0000-0000-000000000000}"/>
  <bookViews>
    <workbookView xWindow="-120" yWindow="-120" windowWidth="29040" windowHeight="15720" xr2:uid="{3ED34926-AB4E-4D48-94C3-D2A3F0DA66E8}"/>
  </bookViews>
  <sheets>
    <sheet name="Biblically Accurate USB Hub BOM" sheetId="1" r:id="rId1"/>
  </sheets>
  <calcPr calcId="0"/>
</workbook>
</file>

<file path=xl/calcChain.xml><?xml version="1.0" encoding="utf-8"?>
<calcChain xmlns="http://schemas.openxmlformats.org/spreadsheetml/2006/main">
  <c r="G14" i="1" l="1"/>
  <c r="G2" i="1"/>
  <c r="G11" i="1"/>
  <c r="G10" i="1"/>
  <c r="G9" i="1"/>
  <c r="G8" i="1"/>
  <c r="G7" i="1"/>
  <c r="G5" i="1"/>
  <c r="G4" i="1"/>
  <c r="G3" i="1"/>
  <c r="G6" i="1"/>
</calcChain>
</file>

<file path=xl/sharedStrings.xml><?xml version="1.0" encoding="utf-8"?>
<sst xmlns="http://schemas.openxmlformats.org/spreadsheetml/2006/main" count="73" uniqueCount="60">
  <si>
    <t>Designator</t>
  </si>
  <si>
    <t>Datasheet</t>
  </si>
  <si>
    <t>Quantity</t>
  </si>
  <si>
    <t>LCSC Price</t>
  </si>
  <si>
    <t>C1,C2,C3,C5,C6,C7,C9,C11,C12</t>
  </si>
  <si>
    <t>C15849</t>
  </si>
  <si>
    <t>https://item.szlcsc.com/datasheet/CL10A105KB8NNNC/16531.html</t>
  </si>
  <si>
    <t>R1,R2</t>
  </si>
  <si>
    <t>C23186</t>
  </si>
  <si>
    <t>https://item.szlcsc.com/datasheet/0603WAF5101T5E/23913.html</t>
  </si>
  <si>
    <t>USB2,USB5</t>
  </si>
  <si>
    <t>C668591</t>
  </si>
  <si>
    <t>https://item.szlcsc.com/datasheet/10.0%2520QHHTZB6.3/698534.html</t>
  </si>
  <si>
    <t>X1</t>
  </si>
  <si>
    <t>C6071564</t>
  </si>
  <si>
    <t>https://item.szlcsc.com/datasheet/3225%252012M%252018PF%252020PPM/7011309.html</t>
  </si>
  <si>
    <t>C13,C14</t>
  </si>
  <si>
    <t>C1656</t>
  </si>
  <si>
    <t>https://item.szlcsc.com/datasheet/CL10C270JB8NNNC/2008.html</t>
  </si>
  <si>
    <t>R3,R4,R5,R6</t>
  </si>
  <si>
    <t>C23206</t>
  </si>
  <si>
    <t>https://item.szlcsc.com/datasheet/0603WAF5602T5E/23933.html</t>
  </si>
  <si>
    <t>C8,C10</t>
  </si>
  <si>
    <t>U1</t>
  </si>
  <si>
    <t>C2684433</t>
  </si>
  <si>
    <t>https://item.szlcsc.com/datasheet/SL2.1s/2782346.html</t>
  </si>
  <si>
    <t>USB1,USB3,USB4</t>
  </si>
  <si>
    <t>C2765186</t>
  </si>
  <si>
    <t>https://item.szlcsc.com/datasheet/TYPE-C%252016PIN%25202MD(073)/2901843.html</t>
  </si>
  <si>
    <t>D1,D2,D4,D6,D7</t>
  </si>
  <si>
    <t>C2827654</t>
  </si>
  <si>
    <t>https://item.szlcsc.com/datasheet/USBLC6-2SC6/2973336.html</t>
  </si>
  <si>
    <t>Limitations</t>
  </si>
  <si>
    <t>Min. Order Quantity is 50</t>
  </si>
  <si>
    <t>Min. Order Quantity is 100</t>
  </si>
  <si>
    <t>Min. Order Quantity is 20</t>
  </si>
  <si>
    <t>Item</t>
  </si>
  <si>
    <t>LCSC #ID</t>
  </si>
  <si>
    <t>Total</t>
  </si>
  <si>
    <t>Min. Order Quantity is 10</t>
  </si>
  <si>
    <t>C108856</t>
  </si>
  <si>
    <t>https://www.lcsc.com/datasheet/C108856.pdf</t>
  </si>
  <si>
    <t>1uF Capacitor</t>
  </si>
  <si>
    <t>10.0 QHHTZB6.3 USB-A Ports</t>
  </si>
  <si>
    <t>PCB</t>
  </si>
  <si>
    <t>Min. Order Quantity is 5</t>
  </si>
  <si>
    <t>- - - - - - - - - - - - - - - - - - - - - - - - -</t>
  </si>
  <si>
    <t>- - - - - - - -</t>
  </si>
  <si>
    <t>-----</t>
  </si>
  <si>
    <t>------</t>
  </si>
  <si>
    <t>Shipping</t>
  </si>
  <si>
    <t>I live outside the EU so its expensive</t>
  </si>
  <si>
    <t>12MHz Passive Oscilating Crystal</t>
  </si>
  <si>
    <t>27pF Capacitors</t>
  </si>
  <si>
    <t>5.1kΩ  Resistor</t>
  </si>
  <si>
    <t>100uF Capacitors</t>
  </si>
  <si>
    <t>56kΩ Downstream  Resistors</t>
  </si>
  <si>
    <t xml:space="preserve">SL2.1s MCU </t>
  </si>
  <si>
    <t>TYPE-C 16PIN 2MD(073)       USB-C Ports</t>
  </si>
  <si>
    <t>USBLC6-2SC6 ESD Protection TVS Diodes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</si>
</sst>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&quot;$&quot;#,##0.0000_);[Red]\(&quot;$&quot;#,##0.0000\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20" fillId="0" borderId="10" xfId="0" applyFont="1" applyBorder="1"/>
    <xf numFmtId="166" fontId="20" fillId="0" borderId="10" xfId="0" applyNumberFormat="1" applyFont="1" applyBorder="1"/>
    <xf numFmtId="8" fontId="20" fillId="0" borderId="10" xfId="0" applyNumberFormat="1" applyFont="1" applyBorder="1"/>
    <xf numFmtId="0" fontId="21" fillId="0" borderId="10" xfId="0" quotePrefix="1" applyFont="1" applyBorder="1" applyAlignment="1">
      <alignment horizontal="left" vertical="center"/>
    </xf>
    <xf numFmtId="0" fontId="20" fillId="0" borderId="10" xfId="0" quotePrefix="1" applyFont="1" applyBorder="1"/>
    <xf numFmtId="0" fontId="16" fillId="0" borderId="10" xfId="0" quotePrefix="1" applyFont="1" applyBorder="1" applyAlignment="1">
      <alignment horizontal="center" vertical="center"/>
    </xf>
    <xf numFmtId="166" fontId="20" fillId="0" borderId="10" xfId="0" quotePrefix="1" applyNumberFormat="1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/>
    <xf numFmtId="0" fontId="22" fillId="0" borderId="15" xfId="0" quotePrefix="1" applyFont="1" applyBorder="1"/>
    <xf numFmtId="0" fontId="16" fillId="33" borderId="16" xfId="0" applyFont="1" applyFill="1" applyBorder="1"/>
    <xf numFmtId="0" fontId="0" fillId="33" borderId="17" xfId="0" applyFill="1" applyBorder="1"/>
    <xf numFmtId="8" fontId="0" fillId="33" borderId="17" xfId="0" applyNumberFormat="1" applyFill="1" applyBorder="1"/>
    <xf numFmtId="0" fontId="16" fillId="0" borderId="10" xfId="0" quotePrefix="1" applyFont="1" applyBorder="1" applyAlignment="1">
      <alignment horizontal="left" vertical="center"/>
    </xf>
    <xf numFmtId="166" fontId="20" fillId="0" borderId="10" xfId="0" quotePrefix="1" applyNumberFormat="1" applyFont="1" applyBorder="1"/>
    <xf numFmtId="0" fontId="19" fillId="0" borderId="10" xfId="0" applyFont="1" applyBorder="1" applyAlignment="1">
      <alignment wrapText="1"/>
    </xf>
    <xf numFmtId="8" fontId="19" fillId="0" borderId="10" xfId="0" applyNumberFormat="1" applyFont="1" applyBorder="1" applyAlignment="1">
      <alignment wrapText="1"/>
    </xf>
    <xf numFmtId="0" fontId="18" fillId="0" borderId="15" xfId="42" applyBorder="1" applyAlignment="1">
      <alignment wrapText="1"/>
    </xf>
    <xf numFmtId="0" fontId="0" fillId="0" borderId="15" xfId="0" applyBorder="1" applyAlignment="1">
      <alignment wrapText="1"/>
    </xf>
    <xf numFmtId="0" fontId="20" fillId="0" borderId="15" xfId="0" quotePrefix="1" applyFont="1" applyBorder="1"/>
    <xf numFmtId="0" fontId="0" fillId="0" borderId="0" xfId="0" applyBorder="1"/>
    <xf numFmtId="0" fontId="16" fillId="0" borderId="14" xfId="0" applyFont="1" applyBorder="1" applyAlignment="1">
      <alignment wrapText="1"/>
    </xf>
    <xf numFmtId="0" fontId="16" fillId="0" borderId="11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datasheet/C108856.pdf" TargetMode="External"/><Relationship Id="rId1" Type="http://schemas.openxmlformats.org/officeDocument/2006/relationships/hyperlink" Target="https://item.szlcsc.com/datasheet/CL10A105KB8NNNC/1653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72D6-0B82-4A5F-9F80-893BF94BF56D}">
  <dimension ref="A1:H18"/>
  <sheetViews>
    <sheetView tabSelected="1" zoomScale="115" zoomScaleNormal="115" workbookViewId="0">
      <selection activeCell="H21" sqref="H21"/>
    </sheetView>
  </sheetViews>
  <sheetFormatPr defaultRowHeight="15" x14ac:dyDescent="0.25"/>
  <cols>
    <col min="1" max="1" width="26" bestFit="1" customWidth="1"/>
    <col min="2" max="2" width="30.140625" bestFit="1" customWidth="1"/>
    <col min="3" max="3" width="10.140625" bestFit="1" customWidth="1"/>
    <col min="4" max="4" width="8.7109375" bestFit="1" customWidth="1"/>
    <col min="5" max="5" width="11" bestFit="1" customWidth="1"/>
    <col min="6" max="6" width="25.28515625" bestFit="1" customWidth="1"/>
    <col min="8" max="8" width="80.85546875" bestFit="1" customWidth="1"/>
  </cols>
  <sheetData>
    <row r="1" spans="1:8" x14ac:dyDescent="0.25">
      <c r="A1" s="27" t="s">
        <v>36</v>
      </c>
      <c r="B1" s="11" t="s">
        <v>0</v>
      </c>
      <c r="C1" s="11" t="s">
        <v>37</v>
      </c>
      <c r="D1" s="11" t="s">
        <v>2</v>
      </c>
      <c r="E1" s="11" t="s">
        <v>3</v>
      </c>
      <c r="F1" s="11" t="s">
        <v>32</v>
      </c>
      <c r="G1" s="11" t="s">
        <v>38</v>
      </c>
      <c r="H1" s="12" t="s">
        <v>1</v>
      </c>
    </row>
    <row r="2" spans="1:8" x14ac:dyDescent="0.25">
      <c r="A2" s="28" t="s">
        <v>42</v>
      </c>
      <c r="B2" s="3" t="s">
        <v>4</v>
      </c>
      <c r="C2" s="4" t="s">
        <v>5</v>
      </c>
      <c r="D2" s="2">
        <v>9</v>
      </c>
      <c r="E2" s="5">
        <v>1.09E-2</v>
      </c>
      <c r="F2" s="20" t="s">
        <v>33</v>
      </c>
      <c r="G2" s="6">
        <f>50*E2</f>
        <v>0.54500000000000004</v>
      </c>
      <c r="H2" s="22" t="s">
        <v>6</v>
      </c>
    </row>
    <row r="3" spans="1:8" x14ac:dyDescent="0.25">
      <c r="A3" s="28" t="s">
        <v>54</v>
      </c>
      <c r="B3" s="3" t="s">
        <v>7</v>
      </c>
      <c r="C3" s="4" t="s">
        <v>8</v>
      </c>
      <c r="D3" s="2">
        <v>2</v>
      </c>
      <c r="E3" s="5">
        <v>1.6000000000000001E-3</v>
      </c>
      <c r="F3" s="20" t="s">
        <v>34</v>
      </c>
      <c r="G3" s="6">
        <f>100*E3</f>
        <v>0.16</v>
      </c>
      <c r="H3" s="23" t="s">
        <v>9</v>
      </c>
    </row>
    <row r="4" spans="1:8" ht="30" x14ac:dyDescent="0.25">
      <c r="A4" s="28" t="s">
        <v>43</v>
      </c>
      <c r="B4" s="3" t="s">
        <v>10</v>
      </c>
      <c r="C4" s="4" t="s">
        <v>11</v>
      </c>
      <c r="D4" s="2">
        <v>2</v>
      </c>
      <c r="E4" s="5">
        <v>6.3200000000000006E-2</v>
      </c>
      <c r="F4" s="20" t="s">
        <v>39</v>
      </c>
      <c r="G4" s="6">
        <f>10*E4</f>
        <v>0.63200000000000012</v>
      </c>
      <c r="H4" s="23" t="s">
        <v>12</v>
      </c>
    </row>
    <row r="5" spans="1:8" ht="30" x14ac:dyDescent="0.25">
      <c r="A5" s="28" t="s">
        <v>52</v>
      </c>
      <c r="B5" s="3" t="s">
        <v>13</v>
      </c>
      <c r="C5" s="4" t="s">
        <v>14</v>
      </c>
      <c r="D5" s="2">
        <v>1</v>
      </c>
      <c r="E5" s="5">
        <v>7.0900000000000005E-2</v>
      </c>
      <c r="F5" s="20" t="s">
        <v>39</v>
      </c>
      <c r="G5" s="6">
        <f>10*E5</f>
        <v>0.70900000000000007</v>
      </c>
      <c r="H5" s="23" t="s">
        <v>15</v>
      </c>
    </row>
    <row r="6" spans="1:8" x14ac:dyDescent="0.25">
      <c r="A6" s="28" t="s">
        <v>53</v>
      </c>
      <c r="B6" s="3" t="s">
        <v>16</v>
      </c>
      <c r="C6" s="4" t="s">
        <v>17</v>
      </c>
      <c r="D6" s="2">
        <v>2</v>
      </c>
      <c r="E6" s="5">
        <v>6.0000000000000001E-3</v>
      </c>
      <c r="F6" s="20" t="s">
        <v>34</v>
      </c>
      <c r="G6" s="6">
        <f>100*E6</f>
        <v>0.6</v>
      </c>
      <c r="H6" s="23" t="s">
        <v>18</v>
      </c>
    </row>
    <row r="7" spans="1:8" ht="30" x14ac:dyDescent="0.25">
      <c r="A7" s="28" t="s">
        <v>56</v>
      </c>
      <c r="B7" s="3" t="s">
        <v>19</v>
      </c>
      <c r="C7" s="4" t="s">
        <v>20</v>
      </c>
      <c r="D7" s="2">
        <v>4</v>
      </c>
      <c r="E7" s="5">
        <v>1.6000000000000001E-3</v>
      </c>
      <c r="F7" s="20" t="s">
        <v>34</v>
      </c>
      <c r="G7" s="6">
        <f>100*E7</f>
        <v>0.16</v>
      </c>
      <c r="H7" s="23" t="s">
        <v>21</v>
      </c>
    </row>
    <row r="8" spans="1:8" x14ac:dyDescent="0.25">
      <c r="A8" s="28" t="s">
        <v>55</v>
      </c>
      <c r="B8" s="3" t="s">
        <v>22</v>
      </c>
      <c r="C8" s="4" t="s">
        <v>40</v>
      </c>
      <c r="D8" s="2">
        <v>2</v>
      </c>
      <c r="E8" s="5">
        <v>8.2100000000000006E-2</v>
      </c>
      <c r="F8" s="21" t="s">
        <v>39</v>
      </c>
      <c r="G8" s="6">
        <f>10*E8</f>
        <v>0.82100000000000006</v>
      </c>
      <c r="H8" s="22" t="s">
        <v>41</v>
      </c>
    </row>
    <row r="9" spans="1:8" x14ac:dyDescent="0.25">
      <c r="A9" s="28" t="s">
        <v>57</v>
      </c>
      <c r="B9" s="3" t="s">
        <v>23</v>
      </c>
      <c r="C9" s="4" t="s">
        <v>24</v>
      </c>
      <c r="D9" s="2">
        <v>1</v>
      </c>
      <c r="E9" s="5">
        <v>0.28489999999999999</v>
      </c>
      <c r="F9" s="20" t="s">
        <v>39</v>
      </c>
      <c r="G9" s="6">
        <f>10*E9</f>
        <v>2.8489999999999998</v>
      </c>
      <c r="H9" s="23" t="s">
        <v>25</v>
      </c>
    </row>
    <row r="10" spans="1:8" ht="30" x14ac:dyDescent="0.25">
      <c r="A10" s="28" t="s">
        <v>58</v>
      </c>
      <c r="B10" s="3" t="s">
        <v>26</v>
      </c>
      <c r="C10" s="4" t="s">
        <v>27</v>
      </c>
      <c r="D10" s="2">
        <v>3</v>
      </c>
      <c r="E10" s="5">
        <v>7.0499999999999993E-2</v>
      </c>
      <c r="F10" s="20" t="s">
        <v>35</v>
      </c>
      <c r="G10" s="6">
        <f>20*E10</f>
        <v>1.41</v>
      </c>
      <c r="H10" s="23" t="s">
        <v>28</v>
      </c>
    </row>
    <row r="11" spans="1:8" ht="30" x14ac:dyDescent="0.25">
      <c r="A11" s="28" t="s">
        <v>59</v>
      </c>
      <c r="B11" s="3" t="s">
        <v>29</v>
      </c>
      <c r="C11" s="4" t="s">
        <v>30</v>
      </c>
      <c r="D11" s="2">
        <v>5</v>
      </c>
      <c r="E11" s="5">
        <v>4.1000000000000002E-2</v>
      </c>
      <c r="F11" s="20" t="s">
        <v>39</v>
      </c>
      <c r="G11" s="6">
        <f>10*E11</f>
        <v>0.41000000000000003</v>
      </c>
      <c r="H11" s="23" t="s">
        <v>31</v>
      </c>
    </row>
    <row r="12" spans="1:8" ht="15.75" x14ac:dyDescent="0.25">
      <c r="A12" s="26" t="s">
        <v>44</v>
      </c>
      <c r="B12" s="7" t="s">
        <v>46</v>
      </c>
      <c r="C12" s="8" t="s">
        <v>47</v>
      </c>
      <c r="D12" s="9" t="s">
        <v>48</v>
      </c>
      <c r="E12" s="10" t="s">
        <v>49</v>
      </c>
      <c r="F12" s="20" t="s">
        <v>45</v>
      </c>
      <c r="G12" s="6">
        <v>4</v>
      </c>
      <c r="H12" s="14" t="s">
        <v>46</v>
      </c>
    </row>
    <row r="13" spans="1:8" ht="30" x14ac:dyDescent="0.25">
      <c r="A13" s="13" t="s">
        <v>50</v>
      </c>
      <c r="B13" s="18" t="s">
        <v>46</v>
      </c>
      <c r="C13" s="8" t="s">
        <v>47</v>
      </c>
      <c r="D13" s="9" t="s">
        <v>48</v>
      </c>
      <c r="E13" s="19" t="s">
        <v>49</v>
      </c>
      <c r="F13" s="20" t="s">
        <v>51</v>
      </c>
      <c r="G13" s="6">
        <v>26</v>
      </c>
      <c r="H13" s="24" t="s">
        <v>46</v>
      </c>
    </row>
    <row r="14" spans="1:8" ht="15.75" thickBot="1" x14ac:dyDescent="0.3">
      <c r="A14" s="15" t="s">
        <v>38</v>
      </c>
      <c r="B14" s="16"/>
      <c r="C14" s="16"/>
      <c r="D14" s="16"/>
      <c r="E14" s="16"/>
      <c r="F14" s="16"/>
      <c r="G14" s="17">
        <f>SUM(G2:G13)</f>
        <v>38.295999999999999</v>
      </c>
      <c r="H14" s="25"/>
    </row>
    <row r="18" spans="8:8" x14ac:dyDescent="0.25">
      <c r="H18" s="1"/>
    </row>
  </sheetData>
  <hyperlinks>
    <hyperlink ref="H2" r:id="rId1" xr:uid="{BD6B6F55-3BC0-40AB-A804-9A9F8D9ADD1A}"/>
    <hyperlink ref="H8" r:id="rId2" xr:uid="{108949B8-3CF1-4398-94DE-F8D675DB41C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Biblically Accurate USB Hub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Aleksej Đukić</dc:creator>
  <cp:lastModifiedBy>Aleksej Đukić</cp:lastModifiedBy>
  <dcterms:created xsi:type="dcterms:W3CDTF">2026-06-02T14:48:42Z</dcterms:created>
  <dcterms:modified xsi:type="dcterms:W3CDTF">2026-06-02T15:28:30Z</dcterms:modified>
</cp:coreProperties>
</file>